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HU-33 Data" sheetId="1" state="visible" r:id="rId1"/>
    <sheet xmlns:r="http://schemas.openxmlformats.org/officeDocument/2006/relationships" name="AHU-33 Table" sheetId="2" state="visible" r:id="rId2"/>
    <sheet xmlns:r="http://schemas.openxmlformats.org/officeDocument/2006/relationships" name="AHU-33 0.5" sheetId="3" state="visible" r:id="rId3"/>
    <sheet xmlns:r="http://schemas.openxmlformats.org/officeDocument/2006/relationships" name="AHU-33 5.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9999"/>
        <bgColor rgb="00FF9999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AHU-33 0.5µm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'AHU-33 0.5'!D1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'AHU-33 0.5'!$C$2:$C$19</f>
            </numRef>
          </cat>
          <val>
            <numRef>
              <f>'AHU-33 0.5'!$D$2:$D$19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'AHU-33 0.5'!E1</f>
            </strRef>
          </tx>
          <spPr>
            <a:ln xmlns:a="http://schemas.openxmlformats.org/drawingml/2006/main" w="19050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0.5'!$E$2:$E$19</f>
            </numRef>
          </val>
          <smooth val="0"/>
        </ser>
        <ser>
          <idx val="2"/>
          <order val="2"/>
          <tx>
            <strRef>
              <f>'AHU-33 0.5'!F1</f>
            </strRef>
          </tx>
          <spPr>
            <a:ln xmlns:a="http://schemas.openxmlformats.org/drawingml/2006/main" w="19050">
              <a:solidFill>
                <a:srgbClr val="FF33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0.5'!$F$2:$F$19</f>
            </numRef>
          </val>
          <smooth val="0"/>
        </ser>
        <ser>
          <idx val="3"/>
          <order val="3"/>
          <tx>
            <strRef>
              <f>'AHU-33 0.5'!G1</f>
            </strRef>
          </tx>
          <spPr>
            <a:ln xmlns:a="http://schemas.openxmlformats.org/drawingml/2006/main" w="19050">
              <a:solidFill>
                <a:srgbClr val="C07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0.5'!$G$2:$G$19</f>
            </numRef>
          </val>
          <smooth val="0"/>
        </ser>
        <ser>
          <idx val="4"/>
          <order val="4"/>
          <tx>
            <strRef>
              <f>'AHU-33 0.5'!H1</f>
            </strRef>
          </tx>
          <spPr>
            <a:ln xmlns:a="http://schemas.openxmlformats.org/drawingml/2006/main" w="19050">
              <a:solidFill>
                <a:srgbClr val="FF99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0.5'!$H$2:$H$19</f>
            </numRef>
          </val>
          <smooth val="0"/>
        </ser>
        <ser>
          <idx val="5"/>
          <order val="5"/>
          <tx>
            <strRef>
              <f>'AHU-33 0.5'!I1</f>
            </strRef>
          </tx>
          <spPr>
            <a:ln xmlns:a="http://schemas.openxmlformats.org/drawingml/2006/main" w="19050">
              <a:solidFill>
                <a:srgbClr val="375623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0.5'!$I$2:$I$19</f>
            </numRef>
          </val>
          <smooth val="0"/>
        </ser>
        <ser>
          <idx val="6"/>
          <order val="6"/>
          <tx>
            <strRef>
              <f>'AHU-33 0.5'!J1</f>
            </strRef>
          </tx>
          <spPr>
            <a:ln xmlns:a="http://schemas.openxmlformats.org/drawingml/2006/main" w="19050">
              <a:solidFill>
                <a:srgbClr val="70AD47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0.5'!$J$2:$J$19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위치</a:t>
                </a:r>
              </a:p>
            </rich>
          </tx>
        </title>
        <majorTickMark val="none"/>
        <minorTickMark val="none"/>
        <tickLblPos val="nextTo"/>
        <crossAx val="100"/>
        <lblOffset val="100"/>
        <tickLblSkip val="1"/>
      </catAx>
      <valAx>
        <axId val="100"/>
        <scaling>
          <orientation val="minMax"/>
          <max val="700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AHU-33 5.0µm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'AHU-33 5.0'!D1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'AHU-33 5.0'!$C$2:$C$19</f>
            </numRef>
          </cat>
          <val>
            <numRef>
              <f>'AHU-33 5.0'!$D$2:$D$19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'AHU-33 5.0'!E1</f>
            </strRef>
          </tx>
          <spPr>
            <a:ln xmlns:a="http://schemas.openxmlformats.org/drawingml/2006/main" w="19050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5.0'!$E$2:$E$19</f>
            </numRef>
          </val>
          <smooth val="0"/>
        </ser>
        <ser>
          <idx val="2"/>
          <order val="2"/>
          <tx>
            <strRef>
              <f>'AHU-33 5.0'!F1</f>
            </strRef>
          </tx>
          <spPr>
            <a:ln xmlns:a="http://schemas.openxmlformats.org/drawingml/2006/main" w="19050">
              <a:solidFill>
                <a:srgbClr val="FF33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5.0'!$F$2:$F$19</f>
            </numRef>
          </val>
          <smooth val="0"/>
        </ser>
        <ser>
          <idx val="3"/>
          <order val="3"/>
          <tx>
            <strRef>
              <f>'AHU-33 5.0'!G1</f>
            </strRef>
          </tx>
          <spPr>
            <a:ln xmlns:a="http://schemas.openxmlformats.org/drawingml/2006/main" w="19050">
              <a:solidFill>
                <a:srgbClr val="C07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5.0'!$G$2:$G$19</f>
            </numRef>
          </val>
          <smooth val="0"/>
        </ser>
        <ser>
          <idx val="4"/>
          <order val="4"/>
          <tx>
            <strRef>
              <f>'AHU-33 5.0'!H1</f>
            </strRef>
          </tx>
          <spPr>
            <a:ln xmlns:a="http://schemas.openxmlformats.org/drawingml/2006/main" w="19050">
              <a:solidFill>
                <a:srgbClr val="FF99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5.0'!$H$2:$H$19</f>
            </numRef>
          </val>
          <smooth val="0"/>
        </ser>
        <ser>
          <idx val="5"/>
          <order val="5"/>
          <tx>
            <strRef>
              <f>'AHU-33 5.0'!I1</f>
            </strRef>
          </tx>
          <spPr>
            <a:ln xmlns:a="http://schemas.openxmlformats.org/drawingml/2006/main" w="19050">
              <a:solidFill>
                <a:srgbClr val="375623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5.0'!$I$2:$I$19</f>
            </numRef>
          </val>
          <smooth val="0"/>
        </ser>
        <ser>
          <idx val="6"/>
          <order val="6"/>
          <tx>
            <strRef>
              <f>'AHU-33 5.0'!J1</f>
            </strRef>
          </tx>
          <spPr>
            <a:ln xmlns:a="http://schemas.openxmlformats.org/drawingml/2006/main" w="19050">
              <a:solidFill>
                <a:srgbClr val="70AD47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5.0'!$J$2:$J$19</f>
            </numRef>
          </val>
          <smooth val="0"/>
        </ser>
        <ser>
          <idx val="7"/>
          <order val="7"/>
          <tx>
            <strRef>
              <f>'AHU-33 5.0'!K1</f>
            </strRef>
          </tx>
          <spPr>
            <a:ln xmlns:a="http://schemas.openxmlformats.org/drawingml/2006/main" w="19050">
              <a:solidFill>
                <a:srgbClr val="7030A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5.0'!$K$2:$K$19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위치</a:t>
                </a:r>
              </a:p>
            </rich>
          </tx>
        </title>
        <majorTickMark val="none"/>
        <minorTickMark val="none"/>
        <tickLblPos val="nextTo"/>
        <crossAx val="100"/>
        <lblOffset val="100"/>
        <tickLblSkip val="1"/>
      </catAx>
      <valAx>
        <axId val="100"/>
        <scaling>
          <orientation val="minMax"/>
          <max val="90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1296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0</row>
      <rowOff>0</rowOff>
    </from>
    <ext cx="1296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22" customWidth="1" min="4" max="4"/>
    <col width="1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부유입자 측정 기록서</t>
        </is>
      </c>
    </row>
    <row r="7">
      <c r="A7" s="2" t="inlineStr">
        <is>
          <t>NO</t>
        </is>
      </c>
      <c r="B7" s="2" t="inlineStr">
        <is>
          <t>청정 등급</t>
        </is>
      </c>
      <c r="C7" s="2" t="inlineStr">
        <is>
          <t>실번호</t>
        </is>
      </c>
      <c r="D7" s="2" t="inlineStr">
        <is>
          <t>실명</t>
        </is>
      </c>
      <c r="E7" s="2" t="inlineStr">
        <is>
          <t>측정번호</t>
        </is>
      </c>
      <c r="F7" s="2" t="inlineStr">
        <is>
          <t>측정값</t>
        </is>
      </c>
      <c r="G7" s="3" t="n"/>
      <c r="H7" s="3" t="n"/>
      <c r="I7" s="4" t="n"/>
      <c r="J7" s="2" t="inlineStr">
        <is>
          <t>측정일자</t>
        </is>
      </c>
    </row>
    <row r="8">
      <c r="A8" s="5" t="n"/>
      <c r="B8" s="5" t="n"/>
      <c r="C8" s="5" t="n"/>
      <c r="D8" s="5" t="n"/>
      <c r="E8" s="5" t="n"/>
      <c r="F8" s="2" t="inlineStr">
        <is>
          <t>0.5 µm</t>
        </is>
      </c>
      <c r="G8" s="2" t="inlineStr">
        <is>
          <t>Average 0.5㎛</t>
        </is>
      </c>
      <c r="H8" s="2" t="inlineStr">
        <is>
          <t>5.0 µm</t>
        </is>
      </c>
      <c r="I8" s="2" t="inlineStr">
        <is>
          <t>Average 5.0㎛</t>
        </is>
      </c>
      <c r="J8" s="5" t="n"/>
    </row>
    <row r="9">
      <c r="A9" s="6" t="n">
        <v>1</v>
      </c>
      <c r="B9" s="6" t="inlineStr">
        <is>
          <t>B</t>
        </is>
      </c>
      <c r="C9" s="6" t="n">
        <v>2142</v>
      </c>
      <c r="D9" s="6" t="inlineStr">
        <is>
          <t>무균 실험실</t>
        </is>
      </c>
      <c r="E9" s="6" t="n">
        <v>1</v>
      </c>
      <c r="F9" s="6" t="n">
        <v>121</v>
      </c>
      <c r="G9" s="6">
        <f>AVERAGE(F9:F14)</f>
        <v/>
      </c>
      <c r="H9" s="6" t="n">
        <v>7</v>
      </c>
      <c r="I9" s="6">
        <f>AVERAGE(H9:H14)</f>
        <v/>
      </c>
      <c r="J9" s="6" t="inlineStr">
        <is>
          <t>2025 (하)</t>
        </is>
      </c>
    </row>
    <row r="10">
      <c r="A10" s="6" t="n">
        <v>2</v>
      </c>
      <c r="B10" s="7" t="n"/>
      <c r="C10" s="7" t="n"/>
      <c r="D10" s="7" t="n"/>
      <c r="E10" s="6" t="n">
        <v>2</v>
      </c>
      <c r="F10" s="6" t="n">
        <v>194</v>
      </c>
      <c r="G10" s="7" t="n"/>
      <c r="H10" s="6" t="n">
        <v>0</v>
      </c>
      <c r="I10" s="7" t="n"/>
      <c r="J10" s="7" t="n"/>
    </row>
    <row r="11">
      <c r="A11" s="6" t="n">
        <v>3</v>
      </c>
      <c r="B11" s="7" t="n"/>
      <c r="C11" s="7" t="n"/>
      <c r="D11" s="7" t="n"/>
      <c r="E11" s="6" t="n">
        <v>3</v>
      </c>
      <c r="F11" s="8" t="n">
        <v>676</v>
      </c>
      <c r="G11" s="7" t="n"/>
      <c r="H11" s="6" t="n">
        <v>9</v>
      </c>
      <c r="I11" s="7" t="n"/>
      <c r="J11" s="7" t="n"/>
    </row>
    <row r="12">
      <c r="A12" s="6" t="n">
        <v>4</v>
      </c>
      <c r="B12" s="7" t="n"/>
      <c r="C12" s="7" t="n"/>
      <c r="D12" s="7" t="n"/>
      <c r="E12" s="6" t="n">
        <v>4</v>
      </c>
      <c r="F12" s="6" t="n">
        <v>576</v>
      </c>
      <c r="G12" s="7" t="n"/>
      <c r="H12" s="6" t="n">
        <v>9</v>
      </c>
      <c r="I12" s="7" t="n"/>
      <c r="J12" s="7" t="n"/>
    </row>
    <row r="13">
      <c r="A13" s="6" t="n">
        <v>5</v>
      </c>
      <c r="B13" s="7" t="n"/>
      <c r="C13" s="7" t="n"/>
      <c r="D13" s="7" t="n"/>
      <c r="E13" s="6" t="n">
        <v>5</v>
      </c>
      <c r="F13" s="6" t="n">
        <v>107</v>
      </c>
      <c r="G13" s="7" t="n"/>
      <c r="H13" s="6" t="n">
        <v>1</v>
      </c>
      <c r="I13" s="7" t="n"/>
      <c r="J13" s="7" t="n"/>
    </row>
    <row r="14">
      <c r="A14" s="6" t="n">
        <v>6</v>
      </c>
      <c r="B14" s="5" t="n"/>
      <c r="C14" s="5" t="n"/>
      <c r="D14" s="5" t="n"/>
      <c r="E14" s="6" t="n">
        <v>6</v>
      </c>
      <c r="F14" s="6" t="n">
        <v>121</v>
      </c>
      <c r="G14" s="5" t="n"/>
      <c r="H14" s="6" t="n">
        <v>4</v>
      </c>
      <c r="I14" s="5" t="n"/>
      <c r="J14" s="5" t="n"/>
    </row>
    <row r="15">
      <c r="A15" s="6" t="n">
        <v>7</v>
      </c>
      <c r="B15" s="6" t="inlineStr">
        <is>
          <t>D</t>
        </is>
      </c>
      <c r="C15" s="6" t="n">
        <v>2165</v>
      </c>
      <c r="D15" s="6" t="inlineStr">
        <is>
          <t>균주접종실</t>
        </is>
      </c>
      <c r="E15" s="6" t="n">
        <v>1</v>
      </c>
      <c r="F15" s="6" t="n">
        <v>5420</v>
      </c>
      <c r="G15" s="6">
        <f>AVERAGE(F15:F20)</f>
        <v/>
      </c>
      <c r="H15" s="6" t="n">
        <v>400</v>
      </c>
      <c r="I15" s="6">
        <f>AVERAGE(H15:H20)</f>
        <v/>
      </c>
      <c r="J15" s="6" t="inlineStr">
        <is>
          <t>2025 (하)</t>
        </is>
      </c>
    </row>
    <row r="16">
      <c r="A16" s="6" t="n">
        <v>8</v>
      </c>
      <c r="B16" s="7" t="n"/>
      <c r="C16" s="7" t="n"/>
      <c r="D16" s="7" t="n"/>
      <c r="E16" s="6" t="n">
        <v>2</v>
      </c>
      <c r="F16" s="6" t="n">
        <v>570</v>
      </c>
      <c r="G16" s="7" t="n"/>
      <c r="H16" s="6" t="n">
        <v>20</v>
      </c>
      <c r="I16" s="7" t="n"/>
      <c r="J16" s="7" t="n"/>
    </row>
    <row r="17">
      <c r="A17" s="6" t="n">
        <v>9</v>
      </c>
      <c r="B17" s="7" t="n"/>
      <c r="C17" s="7" t="n"/>
      <c r="D17" s="7" t="n"/>
      <c r="E17" s="6" t="n">
        <v>3</v>
      </c>
      <c r="F17" s="6" t="n">
        <v>660</v>
      </c>
      <c r="G17" s="7" t="n"/>
      <c r="H17" s="6" t="n">
        <v>50</v>
      </c>
      <c r="I17" s="7" t="n"/>
      <c r="J17" s="7" t="n"/>
    </row>
    <row r="18">
      <c r="A18" s="6" t="n">
        <v>10</v>
      </c>
      <c r="B18" s="7" t="n"/>
      <c r="C18" s="7" t="n"/>
      <c r="D18" s="7" t="n"/>
      <c r="E18" s="6" t="n">
        <v>4</v>
      </c>
      <c r="F18" s="6" t="n">
        <v>4000</v>
      </c>
      <c r="G18" s="7" t="n"/>
      <c r="H18" s="6" t="n">
        <v>620</v>
      </c>
      <c r="I18" s="7" t="n"/>
      <c r="J18" s="7" t="n"/>
    </row>
    <row r="19">
      <c r="A19" s="6" t="n">
        <v>11</v>
      </c>
      <c r="B19" s="7" t="n"/>
      <c r="C19" s="7" t="n"/>
      <c r="D19" s="7" t="n"/>
      <c r="E19" s="6" t="n">
        <v>5</v>
      </c>
      <c r="F19" s="6" t="n">
        <v>690</v>
      </c>
      <c r="G19" s="7" t="n"/>
      <c r="H19" s="6" t="n">
        <v>110</v>
      </c>
      <c r="I19" s="7" t="n"/>
      <c r="J19" s="7" t="n"/>
    </row>
    <row r="20">
      <c r="A20" s="6" t="n">
        <v>12</v>
      </c>
      <c r="B20" s="5" t="n"/>
      <c r="C20" s="5" t="n"/>
      <c r="D20" s="5" t="n"/>
      <c r="E20" s="6" t="n">
        <v>6</v>
      </c>
      <c r="F20" s="6" t="n">
        <v>600</v>
      </c>
      <c r="G20" s="5" t="n"/>
      <c r="H20" s="6" t="n">
        <v>10</v>
      </c>
      <c r="I20" s="5" t="n"/>
      <c r="J20" s="5" t="n"/>
    </row>
    <row r="21">
      <c r="A21" s="6" t="n">
        <v>13</v>
      </c>
      <c r="B21" s="6" t="inlineStr">
        <is>
          <t>C</t>
        </is>
      </c>
      <c r="C21" s="6" t="n">
        <v>2147</v>
      </c>
      <c r="D21" s="6" t="inlineStr">
        <is>
          <t>탈의실</t>
        </is>
      </c>
      <c r="E21" s="6" t="n">
        <v>1</v>
      </c>
      <c r="F21" s="8" t="n">
        <v>30760</v>
      </c>
      <c r="G21" s="6">
        <f>AVERAGE(F21:F22)</f>
        <v/>
      </c>
      <c r="H21" s="6" t="n">
        <v>1340</v>
      </c>
      <c r="I21" s="6">
        <f>AVERAGE(H21:H22)</f>
        <v/>
      </c>
      <c r="J21" s="6" t="inlineStr">
        <is>
          <t>2025 (하)</t>
        </is>
      </c>
    </row>
    <row r="22">
      <c r="A22" s="6" t="n">
        <v>14</v>
      </c>
      <c r="B22" s="5" t="n"/>
      <c r="C22" s="5" t="n"/>
      <c r="D22" s="5" t="n"/>
      <c r="E22" s="6" t="n">
        <v>2</v>
      </c>
      <c r="F22" s="6" t="n">
        <v>17690</v>
      </c>
      <c r="G22" s="5" t="n"/>
      <c r="H22" s="6" t="n">
        <v>550</v>
      </c>
      <c r="I22" s="5" t="n"/>
      <c r="J22" s="5" t="n"/>
    </row>
    <row r="23">
      <c r="A23" s="6" t="n">
        <v>15</v>
      </c>
      <c r="B23" s="6" t="inlineStr">
        <is>
          <t>D</t>
        </is>
      </c>
      <c r="C23" s="6" t="n">
        <v>2169</v>
      </c>
      <c r="D23" s="6" t="inlineStr">
        <is>
          <t>복도</t>
        </is>
      </c>
      <c r="E23" s="6" t="n">
        <v>1</v>
      </c>
      <c r="F23" s="6" t="n">
        <v>11140</v>
      </c>
      <c r="G23" s="6">
        <f>AVERAGE(F23:F25)</f>
        <v/>
      </c>
      <c r="H23" s="6" t="n">
        <v>1670</v>
      </c>
      <c r="I23" s="6">
        <f>AVERAGE(H23:H25)</f>
        <v/>
      </c>
      <c r="J23" s="6" t="inlineStr">
        <is>
          <t>2025 (하)</t>
        </is>
      </c>
    </row>
    <row r="24">
      <c r="A24" s="6" t="n">
        <v>16</v>
      </c>
      <c r="B24" s="7" t="n"/>
      <c r="C24" s="7" t="n"/>
      <c r="D24" s="7" t="n"/>
      <c r="E24" s="6" t="n">
        <v>2</v>
      </c>
      <c r="F24" s="6" t="n">
        <v>4120</v>
      </c>
      <c r="G24" s="7" t="n"/>
      <c r="H24" s="6" t="n">
        <v>650</v>
      </c>
      <c r="I24" s="7" t="n"/>
      <c r="J24" s="7" t="n"/>
    </row>
    <row r="25">
      <c r="A25" s="6" t="n">
        <v>17</v>
      </c>
      <c r="B25" s="5" t="n"/>
      <c r="C25" s="5" t="n"/>
      <c r="D25" s="5" t="n"/>
      <c r="E25" s="6" t="n">
        <v>3</v>
      </c>
      <c r="F25" s="6" t="n">
        <v>4710</v>
      </c>
      <c r="G25" s="5" t="n"/>
      <c r="H25" s="6" t="n">
        <v>590</v>
      </c>
      <c r="I25" s="5" t="n"/>
      <c r="J25" s="5" t="n"/>
    </row>
    <row r="26">
      <c r="A26" s="6" t="n">
        <v>18</v>
      </c>
      <c r="B26" s="6" t="inlineStr">
        <is>
          <t>D</t>
        </is>
      </c>
      <c r="C26" s="6" t="n">
        <v>2145</v>
      </c>
      <c r="D26" s="6" t="inlineStr">
        <is>
          <t>탈의실</t>
        </is>
      </c>
      <c r="E26" s="6" t="n">
        <v>1</v>
      </c>
      <c r="F26" s="6" t="n">
        <v>54260</v>
      </c>
      <c r="G26" s="6">
        <f>AVERAGE(F26:F26)</f>
        <v/>
      </c>
      <c r="H26" s="6" t="n">
        <v>1170</v>
      </c>
      <c r="I26" s="6">
        <f>AVERAGE(H26:H26)</f>
        <v/>
      </c>
      <c r="J26" s="6" t="inlineStr">
        <is>
          <t>2025 (하)</t>
        </is>
      </c>
    </row>
    <row r="27">
      <c r="A27" s="6" t="n">
        <v>19</v>
      </c>
      <c r="B27" s="6" t="inlineStr">
        <is>
          <t>B</t>
        </is>
      </c>
      <c r="C27" s="6" t="n">
        <v>2142</v>
      </c>
      <c r="D27" s="6" t="inlineStr">
        <is>
          <t>PASS BOX(QHA-745)</t>
        </is>
      </c>
      <c r="E27" s="6" t="n">
        <v>1</v>
      </c>
      <c r="F27" s="6" t="n">
        <v>539</v>
      </c>
      <c r="G27" s="6">
        <f>AVERAGE(F27:F28)</f>
        <v/>
      </c>
      <c r="H27" s="6" t="n">
        <v>4</v>
      </c>
      <c r="I27" s="6">
        <f>AVERAGE(H27:H28)</f>
        <v/>
      </c>
      <c r="J27" s="6" t="inlineStr">
        <is>
          <t>2025 (하)</t>
        </is>
      </c>
    </row>
    <row r="28">
      <c r="A28" s="6" t="n">
        <v>20</v>
      </c>
      <c r="B28" s="5" t="n"/>
      <c r="C28" s="5" t="n"/>
      <c r="D28" s="5" t="n"/>
      <c r="E28" s="6" t="n">
        <v>2</v>
      </c>
      <c r="F28" s="6" t="n">
        <v>317</v>
      </c>
      <c r="G28" s="5" t="n"/>
      <c r="H28" s="6" t="n">
        <v>0</v>
      </c>
      <c r="I28" s="5" t="n"/>
      <c r="J28" s="5" t="n"/>
    </row>
    <row r="29">
      <c r="A29" s="6" t="n">
        <v>21</v>
      </c>
      <c r="B29" s="6" t="inlineStr">
        <is>
          <t>B</t>
        </is>
      </c>
      <c r="C29" s="6" t="n">
        <v>2142</v>
      </c>
      <c r="D29" s="6" t="inlineStr">
        <is>
          <t>PASS BOX(QHA-744)</t>
        </is>
      </c>
      <c r="E29" s="6" t="n">
        <v>1</v>
      </c>
      <c r="F29" s="6" t="n">
        <v>90</v>
      </c>
      <c r="G29" s="6">
        <f>AVERAGE(F29:F30)</f>
        <v/>
      </c>
      <c r="H29" s="6" t="n">
        <v>1</v>
      </c>
      <c r="I29" s="6">
        <f>AVERAGE(H29:H30)</f>
        <v/>
      </c>
      <c r="J29" s="6" t="inlineStr">
        <is>
          <t>2025 (하)</t>
        </is>
      </c>
    </row>
    <row r="30">
      <c r="A30" s="6" t="n">
        <v>22</v>
      </c>
      <c r="B30" s="5" t="n"/>
      <c r="C30" s="5" t="n"/>
      <c r="D30" s="5" t="n"/>
      <c r="E30" s="6" t="n">
        <v>2</v>
      </c>
      <c r="F30" s="6" t="n">
        <v>114</v>
      </c>
      <c r="G30" s="5" t="n"/>
      <c r="H30" s="6" t="n">
        <v>1</v>
      </c>
      <c r="I30" s="5" t="n"/>
      <c r="J30" s="5" t="n"/>
    </row>
    <row r="31">
      <c r="A31" s="6" t="n">
        <v>23</v>
      </c>
      <c r="B31" s="6" t="inlineStr">
        <is>
          <t>D</t>
        </is>
      </c>
      <c r="C31" s="6" t="n">
        <v>2169</v>
      </c>
      <c r="D31" s="6" t="inlineStr">
        <is>
          <t>PASS BOX(QHA-743)</t>
        </is>
      </c>
      <c r="E31" s="6" t="n">
        <v>1</v>
      </c>
      <c r="F31" s="6" t="n">
        <v>25830</v>
      </c>
      <c r="G31" s="6">
        <f>AVERAGE(F31:F32)</f>
        <v/>
      </c>
      <c r="H31" s="6" t="n">
        <v>2240</v>
      </c>
      <c r="I31" s="6">
        <f>AVERAGE(H31:H32)</f>
        <v/>
      </c>
      <c r="J31" s="6" t="inlineStr">
        <is>
          <t>2025 (하)</t>
        </is>
      </c>
    </row>
    <row r="32">
      <c r="A32" s="6" t="n">
        <v>24</v>
      </c>
      <c r="B32" s="5" t="n"/>
      <c r="C32" s="5" t="n"/>
      <c r="D32" s="5" t="n"/>
      <c r="E32" s="6" t="n">
        <v>2</v>
      </c>
      <c r="F32" s="6" t="n">
        <v>30810</v>
      </c>
      <c r="G32" s="5" t="n"/>
      <c r="H32" s="6" t="n">
        <v>2960</v>
      </c>
      <c r="I32" s="5" t="n"/>
      <c r="J32" s="5" t="n"/>
    </row>
    <row r="33">
      <c r="A33" s="6" t="n">
        <v>25</v>
      </c>
      <c r="B33" s="6" t="inlineStr">
        <is>
          <t>D</t>
        </is>
      </c>
      <c r="C33" s="6" t="n">
        <v>2169</v>
      </c>
      <c r="D33" s="6" t="inlineStr">
        <is>
          <t>PASS BOX(QHA-742)</t>
        </is>
      </c>
      <c r="E33" s="6" t="n">
        <v>1</v>
      </c>
      <c r="F33" s="6" t="n">
        <v>60</v>
      </c>
      <c r="G33" s="6">
        <f>AVERAGE(F33:F34)</f>
        <v/>
      </c>
      <c r="H33" s="6" t="n">
        <v>0</v>
      </c>
      <c r="I33" s="6">
        <f>AVERAGE(H33:H34)</f>
        <v/>
      </c>
      <c r="J33" s="6" t="inlineStr">
        <is>
          <t>2025 (하)</t>
        </is>
      </c>
    </row>
    <row r="34">
      <c r="A34" s="6" t="n">
        <v>26</v>
      </c>
      <c r="B34" s="5" t="n"/>
      <c r="C34" s="5" t="n"/>
      <c r="D34" s="5" t="n"/>
      <c r="E34" s="6" t="n">
        <v>2</v>
      </c>
      <c r="F34" s="6" t="n">
        <v>70</v>
      </c>
      <c r="G34" s="5" t="n"/>
      <c r="H34" s="6" t="n">
        <v>0</v>
      </c>
      <c r="I34" s="5" t="n"/>
      <c r="J34" s="5" t="n"/>
    </row>
    <row r="35">
      <c r="A35" s="6" t="n">
        <v>27</v>
      </c>
      <c r="B35" s="6" t="inlineStr">
        <is>
          <t>A</t>
        </is>
      </c>
      <c r="C35" s="6" t="n">
        <v>2142</v>
      </c>
      <c r="D35" s="6" t="inlineStr">
        <is>
          <t>무균시험실 BSC</t>
        </is>
      </c>
      <c r="E35" s="6" t="n">
        <v>1</v>
      </c>
      <c r="F35" s="6" t="n">
        <v>3</v>
      </c>
      <c r="G35" s="6">
        <f>AVERAGE(F35:F36)</f>
        <v/>
      </c>
      <c r="H35" s="6" t="n">
        <v>0</v>
      </c>
      <c r="I35" s="6">
        <f>AVERAGE(H35:H36)</f>
        <v/>
      </c>
      <c r="J35" s="6" t="inlineStr">
        <is>
          <t>2025 (하)</t>
        </is>
      </c>
    </row>
    <row r="36">
      <c r="A36" s="6" t="n">
        <v>28</v>
      </c>
      <c r="B36" s="5" t="n"/>
      <c r="C36" s="5" t="n"/>
      <c r="D36" s="5" t="n"/>
      <c r="E36" s="6" t="n">
        <v>2</v>
      </c>
      <c r="F36" s="6" t="n">
        <v>1</v>
      </c>
      <c r="G36" s="5" t="n"/>
      <c r="H36" s="6" t="n">
        <v>0</v>
      </c>
      <c r="I36" s="5" t="n"/>
      <c r="J36" s="5" t="n"/>
    </row>
    <row r="37">
      <c r="A37" s="6" t="n">
        <v>29</v>
      </c>
      <c r="B37" s="6" t="inlineStr">
        <is>
          <t>B</t>
        </is>
      </c>
      <c r="C37" s="6" t="n">
        <v>2165</v>
      </c>
      <c r="D37" s="6" t="inlineStr">
        <is>
          <t>균주접종실 BSC</t>
        </is>
      </c>
      <c r="E37" s="6" t="n">
        <v>1</v>
      </c>
      <c r="F37" s="6" t="n">
        <v>4</v>
      </c>
      <c r="G37" s="6">
        <f>AVERAGE(F37:F38)</f>
        <v/>
      </c>
      <c r="H37" s="6" t="n">
        <v>0</v>
      </c>
      <c r="I37" s="6">
        <f>AVERAGE(H37:H38)</f>
        <v/>
      </c>
      <c r="J37" s="6" t="inlineStr">
        <is>
          <t>2025 (하)</t>
        </is>
      </c>
    </row>
    <row r="38">
      <c r="A38" s="6" t="n">
        <v>30</v>
      </c>
      <c r="B38" s="5" t="n"/>
      <c r="C38" s="5" t="n"/>
      <c r="D38" s="5" t="n"/>
      <c r="E38" s="6" t="n">
        <v>2</v>
      </c>
      <c r="F38" s="6" t="n">
        <v>0</v>
      </c>
      <c r="G38" s="5" t="n"/>
      <c r="H38" s="6" t="n">
        <v>0</v>
      </c>
      <c r="I38" s="5" t="n"/>
      <c r="J38" s="5" t="n"/>
    </row>
    <row r="39">
      <c r="A39" s="6" t="n">
        <v>31</v>
      </c>
      <c r="B39" s="6" t="inlineStr">
        <is>
          <t>C</t>
        </is>
      </c>
      <c r="C39" s="6" t="n">
        <v>2144</v>
      </c>
      <c r="D39" s="6" t="inlineStr">
        <is>
          <t>미생물 시험실</t>
        </is>
      </c>
      <c r="E39" s="6" t="n">
        <v>1</v>
      </c>
      <c r="F39" s="6" t="n">
        <v>6360</v>
      </c>
      <c r="G39" s="6">
        <f>AVERAGE(F39:F44)</f>
        <v/>
      </c>
      <c r="H39" s="6" t="n">
        <v>410</v>
      </c>
      <c r="I39" s="6">
        <f>AVERAGE(H39:H44)</f>
        <v/>
      </c>
      <c r="J39" s="6" t="inlineStr">
        <is>
          <t>2025 (하)</t>
        </is>
      </c>
    </row>
    <row r="40">
      <c r="A40" s="6" t="n">
        <v>32</v>
      </c>
      <c r="B40" s="7" t="n"/>
      <c r="C40" s="7" t="n"/>
      <c r="D40" s="7" t="n"/>
      <c r="E40" s="6" t="n">
        <v>2</v>
      </c>
      <c r="F40" s="6" t="n">
        <v>3730</v>
      </c>
      <c r="G40" s="7" t="n"/>
      <c r="H40" s="6" t="n">
        <v>410</v>
      </c>
      <c r="I40" s="7" t="n"/>
      <c r="J40" s="7" t="n"/>
    </row>
    <row r="41">
      <c r="A41" s="6" t="n">
        <v>33</v>
      </c>
      <c r="B41" s="7" t="n"/>
      <c r="C41" s="7" t="n"/>
      <c r="D41" s="7" t="n"/>
      <c r="E41" s="6" t="n">
        <v>3</v>
      </c>
      <c r="F41" s="6" t="n">
        <v>5110</v>
      </c>
      <c r="G41" s="7" t="n"/>
      <c r="H41" s="6" t="n">
        <v>560</v>
      </c>
      <c r="I41" s="7" t="n"/>
      <c r="J41" s="7" t="n"/>
    </row>
    <row r="42">
      <c r="A42" s="6" t="n">
        <v>34</v>
      </c>
      <c r="B42" s="7" t="n"/>
      <c r="C42" s="7" t="n"/>
      <c r="D42" s="7" t="n"/>
      <c r="E42" s="6" t="n">
        <v>4</v>
      </c>
      <c r="F42" s="6" t="n">
        <v>4140</v>
      </c>
      <c r="G42" s="7" t="n"/>
      <c r="H42" s="6" t="n">
        <v>390</v>
      </c>
      <c r="I42" s="7" t="n"/>
      <c r="J42" s="7" t="n"/>
    </row>
    <row r="43">
      <c r="A43" s="6" t="n">
        <v>35</v>
      </c>
      <c r="B43" s="7" t="n"/>
      <c r="C43" s="7" t="n"/>
      <c r="D43" s="7" t="n"/>
      <c r="E43" s="6" t="n">
        <v>5</v>
      </c>
      <c r="F43" s="6" t="n">
        <v>1520</v>
      </c>
      <c r="G43" s="7" t="n"/>
      <c r="H43" s="6" t="n">
        <v>140</v>
      </c>
      <c r="I43" s="7" t="n"/>
      <c r="J43" s="7" t="n"/>
    </row>
    <row r="44">
      <c r="A44" s="6" t="n">
        <v>36</v>
      </c>
      <c r="B44" s="5" t="n"/>
      <c r="C44" s="5" t="n"/>
      <c r="D44" s="5" t="n"/>
      <c r="E44" s="6" t="n">
        <v>6</v>
      </c>
      <c r="F44" s="6" t="n">
        <v>4620</v>
      </c>
      <c r="G44" s="5" t="n"/>
      <c r="H44" s="6" t="n">
        <v>600</v>
      </c>
      <c r="I44" s="5" t="n"/>
      <c r="J44" s="5" t="n"/>
    </row>
    <row r="45">
      <c r="A45" s="6" t="n">
        <v>37</v>
      </c>
      <c r="B45" s="6" t="inlineStr">
        <is>
          <t>B</t>
        </is>
      </c>
      <c r="C45" s="6" t="n">
        <v>2144</v>
      </c>
      <c r="D45" s="6" t="inlineStr">
        <is>
          <t>미생물 시험실 C/B(852)</t>
        </is>
      </c>
      <c r="E45" s="6" t="n">
        <v>1</v>
      </c>
      <c r="F45" s="6" t="n">
        <v>0</v>
      </c>
      <c r="G45" s="6">
        <f>AVERAGE(F45:F46)</f>
        <v/>
      </c>
      <c r="H45" s="6" t="n">
        <v>0</v>
      </c>
      <c r="I45" s="6">
        <f>AVERAGE(H45:H46)</f>
        <v/>
      </c>
      <c r="J45" s="6" t="inlineStr">
        <is>
          <t>2025 (하)</t>
        </is>
      </c>
    </row>
    <row r="46">
      <c r="A46" s="6" t="n">
        <v>38</v>
      </c>
      <c r="B46" s="5" t="n"/>
      <c r="C46" s="5" t="n"/>
      <c r="D46" s="5" t="n"/>
      <c r="E46" s="6" t="n">
        <v>2</v>
      </c>
      <c r="F46" s="6" t="n">
        <v>0</v>
      </c>
      <c r="G46" s="5" t="n"/>
      <c r="H46" s="6" t="n">
        <v>0</v>
      </c>
      <c r="I46" s="5" t="n"/>
      <c r="J46" s="5" t="n"/>
    </row>
    <row r="47">
      <c r="A47" s="6" t="n">
        <v>39</v>
      </c>
      <c r="B47" s="6" t="inlineStr">
        <is>
          <t>B</t>
        </is>
      </c>
      <c r="C47" s="6" t="n">
        <v>2144</v>
      </c>
      <c r="D47" s="6" t="inlineStr">
        <is>
          <t>미생물 시험실 C/B(853)</t>
        </is>
      </c>
      <c r="E47" s="6" t="n">
        <v>1</v>
      </c>
      <c r="F47" s="6" t="n">
        <v>116</v>
      </c>
      <c r="G47" s="6">
        <f>AVERAGE(F47:F48)</f>
        <v/>
      </c>
      <c r="H47" s="6" t="n">
        <v>1</v>
      </c>
      <c r="I47" s="6">
        <f>AVERAGE(H47:H48)</f>
        <v/>
      </c>
      <c r="J47" s="6" t="inlineStr">
        <is>
          <t>2025 (하)</t>
        </is>
      </c>
    </row>
    <row r="48">
      <c r="A48" s="6" t="n">
        <v>40</v>
      </c>
      <c r="B48" s="5" t="n"/>
      <c r="C48" s="5" t="n"/>
      <c r="D48" s="5" t="n"/>
      <c r="E48" s="6" t="n">
        <v>2</v>
      </c>
      <c r="F48" s="6" t="n">
        <v>101</v>
      </c>
      <c r="G48" s="5" t="n"/>
      <c r="H48" s="6" t="n">
        <v>1</v>
      </c>
      <c r="I48" s="5" t="n"/>
      <c r="J48" s="5" t="n"/>
    </row>
    <row r="49">
      <c r="A49" s="6" t="n">
        <v>41</v>
      </c>
      <c r="B49" s="6" t="inlineStr">
        <is>
          <t>D</t>
        </is>
      </c>
      <c r="C49" s="6" t="n">
        <v>2146</v>
      </c>
      <c r="D49" s="6" t="inlineStr">
        <is>
          <t>착의실</t>
        </is>
      </c>
      <c r="E49" s="6" t="n">
        <v>1</v>
      </c>
      <c r="F49" s="6" t="n">
        <v>14580</v>
      </c>
      <c r="G49" s="6">
        <f>AVERAGE(F49:F50)</f>
        <v/>
      </c>
      <c r="H49" s="6" t="n">
        <v>1340</v>
      </c>
      <c r="I49" s="6">
        <f>AVERAGE(H49:H50)</f>
        <v/>
      </c>
      <c r="J49" s="6" t="inlineStr">
        <is>
          <t>2025 (하)</t>
        </is>
      </c>
    </row>
    <row r="50">
      <c r="A50" s="6" t="n">
        <v>42</v>
      </c>
      <c r="B50" s="5" t="n"/>
      <c r="C50" s="5" t="n"/>
      <c r="D50" s="5" t="n"/>
      <c r="E50" s="6" t="n">
        <v>2</v>
      </c>
      <c r="F50" s="6" t="n">
        <v>106930</v>
      </c>
      <c r="G50" s="5" t="n"/>
      <c r="H50" s="8" t="n">
        <v>14230</v>
      </c>
      <c r="I50" s="5" t="n"/>
      <c r="J50" s="5" t="n"/>
    </row>
    <row r="51">
      <c r="A51" s="6" t="n">
        <v>43</v>
      </c>
      <c r="B51" s="6" t="inlineStr">
        <is>
          <t>D</t>
        </is>
      </c>
      <c r="C51" s="6" t="n">
        <v>2150</v>
      </c>
      <c r="D51" s="6" t="inlineStr">
        <is>
          <t>퇴실</t>
        </is>
      </c>
      <c r="E51" s="6" t="n">
        <v>1</v>
      </c>
      <c r="F51" s="6" t="n">
        <v>5070</v>
      </c>
      <c r="G51" s="6">
        <f>AVERAGE(F51:F51)</f>
        <v/>
      </c>
      <c r="H51" s="6" t="n">
        <v>230</v>
      </c>
      <c r="I51" s="6">
        <f>AVERAGE(H51:H51)</f>
        <v/>
      </c>
      <c r="J51" s="6" t="inlineStr">
        <is>
          <t>2025 (하)</t>
        </is>
      </c>
    </row>
    <row r="52">
      <c r="A52" s="6" t="n">
        <v>44</v>
      </c>
      <c r="B52" s="6" t="inlineStr">
        <is>
          <t>C</t>
        </is>
      </c>
      <c r="C52" s="6" t="n">
        <v>2148</v>
      </c>
      <c r="D52" s="6" t="inlineStr">
        <is>
          <t>착의실</t>
        </is>
      </c>
      <c r="E52" s="6" t="n">
        <v>1</v>
      </c>
      <c r="F52" s="6" t="n">
        <v>18110</v>
      </c>
      <c r="G52" s="6">
        <f>AVERAGE(F52:F53)</f>
        <v/>
      </c>
      <c r="H52" s="6" t="n">
        <v>1010</v>
      </c>
      <c r="I52" s="6">
        <f>AVERAGE(H52:H53)</f>
        <v/>
      </c>
      <c r="J52" s="6" t="inlineStr">
        <is>
          <t>2025 (하)</t>
        </is>
      </c>
    </row>
    <row r="53">
      <c r="A53" s="6" t="n">
        <v>45</v>
      </c>
      <c r="B53" s="5" t="n"/>
      <c r="C53" s="5" t="n"/>
      <c r="D53" s="5" t="n"/>
      <c r="E53" s="6" t="n">
        <v>2</v>
      </c>
      <c r="F53" s="6" t="n">
        <v>2460</v>
      </c>
      <c r="G53" s="5" t="n"/>
      <c r="H53" s="6" t="n">
        <v>110</v>
      </c>
      <c r="I53" s="5" t="n"/>
      <c r="J53" s="5" t="n"/>
    </row>
    <row r="54">
      <c r="A54" s="6" t="n">
        <v>46</v>
      </c>
      <c r="B54" s="6" t="inlineStr">
        <is>
          <t>B</t>
        </is>
      </c>
      <c r="C54" s="6" t="n">
        <v>2149</v>
      </c>
      <c r="D54" s="6" t="inlineStr">
        <is>
          <t>착의실</t>
        </is>
      </c>
      <c r="E54" s="6" t="n">
        <v>1</v>
      </c>
      <c r="F54" s="6" t="n">
        <v>416</v>
      </c>
      <c r="G54" s="6">
        <f>AVERAGE(F54:F55)</f>
        <v/>
      </c>
      <c r="H54" s="6" t="n">
        <v>4</v>
      </c>
      <c r="I54" s="6">
        <f>AVERAGE(H54:H55)</f>
        <v/>
      </c>
      <c r="J54" s="6" t="inlineStr">
        <is>
          <t>2025 (하)</t>
        </is>
      </c>
    </row>
    <row r="55">
      <c r="A55" s="6" t="n">
        <v>47</v>
      </c>
      <c r="B55" s="5" t="n"/>
      <c r="C55" s="5" t="n"/>
      <c r="D55" s="5" t="n"/>
      <c r="E55" s="6" t="n">
        <v>2</v>
      </c>
      <c r="F55" s="6" t="n">
        <v>331</v>
      </c>
      <c r="G55" s="5" t="n"/>
      <c r="H55" s="6" t="n">
        <v>4</v>
      </c>
      <c r="I55" s="5" t="n"/>
      <c r="J55" s="5" t="n"/>
    </row>
  </sheetData>
  <mergeCells count="104">
    <mergeCell ref="I54:I55"/>
    <mergeCell ref="B52:B53"/>
    <mergeCell ref="C29:C30"/>
    <mergeCell ref="D52:D53"/>
    <mergeCell ref="I15:I20"/>
    <mergeCell ref="A7:A8"/>
    <mergeCell ref="D21:D22"/>
    <mergeCell ref="C23:C25"/>
    <mergeCell ref="B29:B30"/>
    <mergeCell ref="D45:D46"/>
    <mergeCell ref="D7:D8"/>
    <mergeCell ref="D47:D48"/>
    <mergeCell ref="J45:J46"/>
    <mergeCell ref="G49:G50"/>
    <mergeCell ref="B37:B38"/>
    <mergeCell ref="G33:G34"/>
    <mergeCell ref="J47:J48"/>
    <mergeCell ref="C27:C28"/>
    <mergeCell ref="I29:I30"/>
    <mergeCell ref="J31:J32"/>
    <mergeCell ref="G35:G36"/>
    <mergeCell ref="B54:B55"/>
    <mergeCell ref="I35:I36"/>
    <mergeCell ref="D54:D55"/>
    <mergeCell ref="B23:B25"/>
    <mergeCell ref="I31:I32"/>
    <mergeCell ref="D15:D20"/>
    <mergeCell ref="G21:G22"/>
    <mergeCell ref="B35:B36"/>
    <mergeCell ref="G9:G14"/>
    <mergeCell ref="I9:I14"/>
    <mergeCell ref="B27:B28"/>
    <mergeCell ref="I45:I46"/>
    <mergeCell ref="D27:D28"/>
    <mergeCell ref="D49:D50"/>
    <mergeCell ref="C45:C46"/>
    <mergeCell ref="C54:C55"/>
    <mergeCell ref="I23:I25"/>
    <mergeCell ref="J49:J50"/>
    <mergeCell ref="J27:J28"/>
    <mergeCell ref="G39:G44"/>
    <mergeCell ref="C47:C48"/>
    <mergeCell ref="C31:C32"/>
    <mergeCell ref="I33:I34"/>
    <mergeCell ref="J35:J36"/>
    <mergeCell ref="G15:G20"/>
    <mergeCell ref="D37:D38"/>
    <mergeCell ref="J21:J22"/>
    <mergeCell ref="B45:B46"/>
    <mergeCell ref="D9:D14"/>
    <mergeCell ref="G27:G28"/>
    <mergeCell ref="D39:D44"/>
    <mergeCell ref="B7:B8"/>
    <mergeCell ref="C49:C50"/>
    <mergeCell ref="B31:B32"/>
    <mergeCell ref="G52:G53"/>
    <mergeCell ref="J39:J44"/>
    <mergeCell ref="I47:I48"/>
    <mergeCell ref="C21:C22"/>
    <mergeCell ref="J15:J20"/>
    <mergeCell ref="G37:G38"/>
    <mergeCell ref="I37:I38"/>
    <mergeCell ref="C9:C14"/>
    <mergeCell ref="B49:B50"/>
    <mergeCell ref="F7:I7"/>
    <mergeCell ref="C7:C8"/>
    <mergeCell ref="B33:B34"/>
    <mergeCell ref="I39:I44"/>
    <mergeCell ref="E7:E8"/>
    <mergeCell ref="G23:G25"/>
    <mergeCell ref="D29:D30"/>
    <mergeCell ref="C39:C44"/>
    <mergeCell ref="J52:J53"/>
    <mergeCell ref="B9:B14"/>
    <mergeCell ref="J33:J34"/>
    <mergeCell ref="D31:D32"/>
    <mergeCell ref="J29:J30"/>
    <mergeCell ref="I49:I50"/>
    <mergeCell ref="B21:B22"/>
    <mergeCell ref="I27:I28"/>
    <mergeCell ref="B47:B48"/>
    <mergeCell ref="C33:C34"/>
    <mergeCell ref="C15:C20"/>
    <mergeCell ref="J37:J38"/>
    <mergeCell ref="C35:C36"/>
    <mergeCell ref="D23:D25"/>
    <mergeCell ref="J9:J14"/>
    <mergeCell ref="B39:B44"/>
    <mergeCell ref="I52:I53"/>
    <mergeCell ref="I21:I22"/>
    <mergeCell ref="J54:J55"/>
    <mergeCell ref="J7:J8"/>
    <mergeCell ref="J23:J25"/>
    <mergeCell ref="G29:G30"/>
    <mergeCell ref="C52:C53"/>
    <mergeCell ref="A1:J1"/>
    <mergeCell ref="D33:D34"/>
    <mergeCell ref="G45:G46"/>
    <mergeCell ref="B15:B20"/>
    <mergeCell ref="G54:G55"/>
    <mergeCell ref="G47:G48"/>
    <mergeCell ref="C37:C38"/>
    <mergeCell ref="G31:G32"/>
    <mergeCell ref="D35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22" customWidth="1" min="4" max="4"/>
    <col width="16" customWidth="1" min="5" max="5"/>
    <col width="16" customWidth="1" min="6" max="6"/>
    <col width="12" customWidth="1" min="7" max="7"/>
  </cols>
  <sheetData>
    <row r="1">
      <c r="A1" s="2" t="inlineStr">
        <is>
          <t>NO</t>
        </is>
      </c>
      <c r="B1" s="2" t="inlineStr">
        <is>
          <t>청정 등급</t>
        </is>
      </c>
      <c r="C1" s="2" t="inlineStr">
        <is>
          <t>실번호</t>
        </is>
      </c>
      <c r="D1" s="2" t="inlineStr">
        <is>
          <t>실명</t>
        </is>
      </c>
      <c r="E1" s="2" t="inlineStr">
        <is>
          <t>Average 0.5㎛</t>
        </is>
      </c>
      <c r="F1" s="2" t="inlineStr">
        <is>
          <t>Average 5.0㎛</t>
        </is>
      </c>
      <c r="G1" s="2" t="inlineStr">
        <is>
          <t>측정일자</t>
        </is>
      </c>
    </row>
    <row r="2">
      <c r="A2" s="6" t="n">
        <v>1</v>
      </c>
      <c r="B2" s="6" t="inlineStr">
        <is>
          <t>B</t>
        </is>
      </c>
      <c r="C2" s="6" t="n">
        <v>2142</v>
      </c>
      <c r="D2" s="6" t="inlineStr">
        <is>
          <t>무균 실험실</t>
        </is>
      </c>
      <c r="E2" s="6" t="n">
        <v>299</v>
      </c>
      <c r="F2" s="6" t="n">
        <v>5</v>
      </c>
      <c r="G2" s="6" t="inlineStr">
        <is>
          <t>2025 (하)</t>
        </is>
      </c>
    </row>
    <row r="3">
      <c r="A3" s="6" t="n">
        <v>2</v>
      </c>
      <c r="B3" s="6" t="inlineStr">
        <is>
          <t>D</t>
        </is>
      </c>
      <c r="C3" s="6" t="n">
        <v>2165</v>
      </c>
      <c r="D3" s="6" t="inlineStr">
        <is>
          <t>균주접종실</t>
        </is>
      </c>
      <c r="E3" s="6" t="n">
        <v>1990</v>
      </c>
      <c r="F3" s="6" t="n">
        <v>201.6666666666667</v>
      </c>
      <c r="G3" s="6" t="inlineStr">
        <is>
          <t>2025 (하)</t>
        </is>
      </c>
    </row>
    <row r="4">
      <c r="A4" s="6" t="n">
        <v>3</v>
      </c>
      <c r="B4" s="6" t="inlineStr">
        <is>
          <t>C</t>
        </is>
      </c>
      <c r="C4" s="6" t="n">
        <v>2147</v>
      </c>
      <c r="D4" s="6" t="inlineStr">
        <is>
          <t>탈의실</t>
        </is>
      </c>
      <c r="E4" s="6" t="n">
        <v>24225</v>
      </c>
      <c r="F4" s="6" t="n">
        <v>945</v>
      </c>
      <c r="G4" s="6" t="inlineStr">
        <is>
          <t>2025 (하)</t>
        </is>
      </c>
    </row>
    <row r="5">
      <c r="A5" s="6" t="n">
        <v>4</v>
      </c>
      <c r="B5" s="6" t="inlineStr">
        <is>
          <t>D</t>
        </is>
      </c>
      <c r="C5" s="6" t="n">
        <v>2169</v>
      </c>
      <c r="D5" s="6" t="inlineStr">
        <is>
          <t>복도</t>
        </is>
      </c>
      <c r="E5" s="6" t="n">
        <v>6657</v>
      </c>
      <c r="F5" s="6" t="n">
        <v>970</v>
      </c>
      <c r="G5" s="6" t="inlineStr">
        <is>
          <t>2025 (하)</t>
        </is>
      </c>
    </row>
    <row r="6">
      <c r="A6" s="6" t="n">
        <v>5</v>
      </c>
      <c r="B6" s="6" t="inlineStr">
        <is>
          <t>D</t>
        </is>
      </c>
      <c r="C6" s="6" t="n">
        <v>2145</v>
      </c>
      <c r="D6" s="6" t="inlineStr">
        <is>
          <t>탈의실</t>
        </is>
      </c>
      <c r="E6" s="6" t="n">
        <v>54260</v>
      </c>
      <c r="F6" s="6" t="n">
        <v>1170</v>
      </c>
      <c r="G6" s="6" t="inlineStr">
        <is>
          <t>2025 (하)</t>
        </is>
      </c>
    </row>
    <row r="7">
      <c r="A7" s="6" t="n">
        <v>6</v>
      </c>
      <c r="B7" s="6" t="inlineStr">
        <is>
          <t>B</t>
        </is>
      </c>
      <c r="C7" s="6" t="n">
        <v>2142</v>
      </c>
      <c r="D7" s="6" t="inlineStr">
        <is>
          <t>PASS BOX(QHA-745)</t>
        </is>
      </c>
      <c r="E7" s="6" t="n">
        <v>428</v>
      </c>
      <c r="F7" s="6" t="n">
        <v>2</v>
      </c>
      <c r="G7" s="6" t="inlineStr">
        <is>
          <t>2025 (하)</t>
        </is>
      </c>
    </row>
    <row r="8">
      <c r="A8" s="6" t="n">
        <v>7</v>
      </c>
      <c r="B8" s="6" t="inlineStr">
        <is>
          <t>B</t>
        </is>
      </c>
      <c r="C8" s="6" t="n">
        <v>2142</v>
      </c>
      <c r="D8" s="6" t="inlineStr">
        <is>
          <t>PASS BOX(QHA-744)</t>
        </is>
      </c>
      <c r="E8" s="6" t="n">
        <v>102</v>
      </c>
      <c r="F8" s="6" t="n">
        <v>1</v>
      </c>
      <c r="G8" s="6" t="inlineStr">
        <is>
          <t>2025 (하)</t>
        </is>
      </c>
    </row>
    <row r="9">
      <c r="A9" s="6" t="n">
        <v>8</v>
      </c>
      <c r="B9" s="6" t="inlineStr">
        <is>
          <t>D</t>
        </is>
      </c>
      <c r="C9" s="6" t="n">
        <v>2169</v>
      </c>
      <c r="D9" s="6" t="inlineStr">
        <is>
          <t>PASS BOX(QHA-743)</t>
        </is>
      </c>
      <c r="E9" s="6" t="n">
        <v>28320</v>
      </c>
      <c r="F9" s="6" t="n">
        <v>2600</v>
      </c>
      <c r="G9" s="6" t="inlineStr">
        <is>
          <t>2025 (하)</t>
        </is>
      </c>
    </row>
    <row r="10">
      <c r="A10" s="6" t="n">
        <v>9</v>
      </c>
      <c r="B10" s="6" t="inlineStr">
        <is>
          <t>D</t>
        </is>
      </c>
      <c r="C10" s="6" t="n">
        <v>2169</v>
      </c>
      <c r="D10" s="6" t="inlineStr">
        <is>
          <t>PASS BOX(QHA-742)</t>
        </is>
      </c>
      <c r="E10" s="6" t="n">
        <v>65</v>
      </c>
      <c r="F10" s="6" t="n">
        <v>0</v>
      </c>
      <c r="G10" s="6" t="inlineStr">
        <is>
          <t>2025 (하)</t>
        </is>
      </c>
    </row>
    <row r="11">
      <c r="A11" s="6" t="n">
        <v>10</v>
      </c>
      <c r="B11" s="6" t="inlineStr">
        <is>
          <t>A</t>
        </is>
      </c>
      <c r="C11" s="6" t="n">
        <v>2142</v>
      </c>
      <c r="D11" s="6" t="inlineStr">
        <is>
          <t>무균시험실 BSC</t>
        </is>
      </c>
      <c r="E11" s="6" t="n">
        <v>2</v>
      </c>
      <c r="F11" s="6" t="n">
        <v>0</v>
      </c>
      <c r="G11" s="6" t="inlineStr">
        <is>
          <t>2025 (하)</t>
        </is>
      </c>
    </row>
    <row r="12">
      <c r="A12" s="6" t="n">
        <v>11</v>
      </c>
      <c r="B12" s="6" t="inlineStr">
        <is>
          <t>B</t>
        </is>
      </c>
      <c r="C12" s="6" t="n">
        <v>2165</v>
      </c>
      <c r="D12" s="6" t="inlineStr">
        <is>
          <t>균주접종실 BSC</t>
        </is>
      </c>
      <c r="E12" s="6" t="n">
        <v>2</v>
      </c>
      <c r="F12" s="6" t="n">
        <v>0</v>
      </c>
      <c r="G12" s="6" t="inlineStr">
        <is>
          <t>2025 (하)</t>
        </is>
      </c>
    </row>
    <row r="13">
      <c r="A13" s="6" t="n">
        <v>12</v>
      </c>
      <c r="B13" s="6" t="inlineStr">
        <is>
          <t>C</t>
        </is>
      </c>
      <c r="C13" s="6" t="n">
        <v>2144</v>
      </c>
      <c r="D13" s="6" t="inlineStr">
        <is>
          <t>미생물 시험실</t>
        </is>
      </c>
      <c r="E13" s="6" t="n">
        <v>4247</v>
      </c>
      <c r="F13" s="6" t="n">
        <v>418.3333333333333</v>
      </c>
      <c r="G13" s="6" t="inlineStr">
        <is>
          <t>2025 (하)</t>
        </is>
      </c>
    </row>
    <row r="14">
      <c r="A14" s="6" t="n">
        <v>13</v>
      </c>
      <c r="B14" s="6" t="inlineStr">
        <is>
          <t>B</t>
        </is>
      </c>
      <c r="C14" s="6" t="n">
        <v>2144</v>
      </c>
      <c r="D14" s="6" t="inlineStr">
        <is>
          <t>미생물 시험실 C/B(852)</t>
        </is>
      </c>
      <c r="E14" s="6" t="n">
        <v>0</v>
      </c>
      <c r="F14" s="6" t="n">
        <v>0</v>
      </c>
      <c r="G14" s="6" t="inlineStr">
        <is>
          <t>2025 (하)</t>
        </is>
      </c>
    </row>
    <row r="15">
      <c r="A15" s="6" t="n">
        <v>14</v>
      </c>
      <c r="B15" s="6" t="inlineStr">
        <is>
          <t>B</t>
        </is>
      </c>
      <c r="C15" s="6" t="n">
        <v>2144</v>
      </c>
      <c r="D15" s="6" t="inlineStr">
        <is>
          <t>미생물 시험실 C/B(853)</t>
        </is>
      </c>
      <c r="E15" s="6" t="n">
        <v>108</v>
      </c>
      <c r="F15" s="6" t="n">
        <v>1</v>
      </c>
      <c r="G15" s="6" t="inlineStr">
        <is>
          <t>2025 (하)</t>
        </is>
      </c>
    </row>
    <row r="16">
      <c r="A16" s="6" t="n">
        <v>15</v>
      </c>
      <c r="B16" s="6" t="inlineStr">
        <is>
          <t>D</t>
        </is>
      </c>
      <c r="C16" s="6" t="n">
        <v>2146</v>
      </c>
      <c r="D16" s="6" t="inlineStr">
        <is>
          <t>착의실</t>
        </is>
      </c>
      <c r="E16" s="6" t="n">
        <v>60755</v>
      </c>
      <c r="F16" s="6" t="n">
        <v>7785</v>
      </c>
      <c r="G16" s="6" t="inlineStr">
        <is>
          <t>2025 (하)</t>
        </is>
      </c>
    </row>
    <row r="17">
      <c r="A17" s="6" t="n">
        <v>16</v>
      </c>
      <c r="B17" s="6" t="inlineStr">
        <is>
          <t>D</t>
        </is>
      </c>
      <c r="C17" s="6" t="n">
        <v>2150</v>
      </c>
      <c r="D17" s="6" t="inlineStr">
        <is>
          <t>퇴실</t>
        </is>
      </c>
      <c r="E17" s="6" t="n">
        <v>5070</v>
      </c>
      <c r="F17" s="6" t="n">
        <v>230</v>
      </c>
      <c r="G17" s="6" t="inlineStr">
        <is>
          <t>2025 (하)</t>
        </is>
      </c>
    </row>
    <row r="18">
      <c r="A18" s="6" t="n">
        <v>17</v>
      </c>
      <c r="B18" s="6" t="inlineStr">
        <is>
          <t>C</t>
        </is>
      </c>
      <c r="C18" s="6" t="n">
        <v>2148</v>
      </c>
      <c r="D18" s="6" t="inlineStr">
        <is>
          <t>착의실</t>
        </is>
      </c>
      <c r="E18" s="6" t="n">
        <v>10285</v>
      </c>
      <c r="F18" s="6" t="n">
        <v>560</v>
      </c>
      <c r="G18" s="6" t="inlineStr">
        <is>
          <t>2025 (하)</t>
        </is>
      </c>
    </row>
    <row r="19">
      <c r="A19" s="6" t="n">
        <v>18</v>
      </c>
      <c r="B19" s="6" t="inlineStr">
        <is>
          <t>B</t>
        </is>
      </c>
      <c r="C19" s="6" t="n">
        <v>2149</v>
      </c>
      <c r="D19" s="6" t="inlineStr">
        <is>
          <t>착의실</t>
        </is>
      </c>
      <c r="E19" s="6" t="n">
        <v>374</v>
      </c>
      <c r="F19" s="6" t="n">
        <v>4</v>
      </c>
      <c r="G19" s="6" t="inlineStr">
        <is>
          <t>2025 (하)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t="inlineStr">
        <is>
          <t>청정등급</t>
        </is>
      </c>
      <c r="B1" t="inlineStr">
        <is>
          <t>실번호</t>
        </is>
      </c>
      <c r="C1" t="inlineStr">
        <is>
          <t>실명</t>
        </is>
      </c>
      <c r="D1" t="inlineStr">
        <is>
          <t>2025 (하)</t>
        </is>
      </c>
      <c r="E1" t="inlineStr">
        <is>
          <t>Grade A 경고기준: 23</t>
        </is>
      </c>
      <c r="F1" t="inlineStr">
        <is>
          <t>Grade A 조치기준: 46</t>
        </is>
      </c>
      <c r="G1" t="inlineStr">
        <is>
          <t>Grade B 경고기준: 627</t>
        </is>
      </c>
      <c r="H1" t="inlineStr">
        <is>
          <t>Grade B 조치기준: 3,254</t>
        </is>
      </c>
      <c r="I1" t="inlineStr">
        <is>
          <t>Grade C 경고기준: 23,402</t>
        </is>
      </c>
      <c r="J1" t="inlineStr">
        <is>
          <t>Grade C 조치기준: 46,804</t>
        </is>
      </c>
    </row>
    <row r="2">
      <c r="A2" t="inlineStr">
        <is>
          <t>B</t>
        </is>
      </c>
      <c r="B2" t="n">
        <v>2142</v>
      </c>
      <c r="C2" t="inlineStr">
        <is>
          <t>무균 실험실</t>
        </is>
      </c>
      <c r="D2" t="n">
        <v>299</v>
      </c>
      <c r="E2" t="n">
        <v>23</v>
      </c>
      <c r="F2" t="n">
        <v>46</v>
      </c>
      <c r="G2" t="n">
        <v>627</v>
      </c>
      <c r="H2" t="n">
        <v>3254</v>
      </c>
      <c r="I2" t="n">
        <v>23402</v>
      </c>
      <c r="J2" t="n">
        <v>46804</v>
      </c>
    </row>
    <row r="3">
      <c r="A3" t="inlineStr">
        <is>
          <t>D</t>
        </is>
      </c>
      <c r="B3" t="n">
        <v>2165</v>
      </c>
      <c r="C3" t="inlineStr">
        <is>
          <t>균주접종실</t>
        </is>
      </c>
      <c r="D3" t="n">
        <v>1990</v>
      </c>
      <c r="E3" t="n">
        <v>23</v>
      </c>
      <c r="F3" t="n">
        <v>46</v>
      </c>
      <c r="G3" t="n">
        <v>627</v>
      </c>
      <c r="H3" t="n">
        <v>3254</v>
      </c>
      <c r="I3" t="n">
        <v>23402</v>
      </c>
      <c r="J3" t="n">
        <v>46804</v>
      </c>
    </row>
    <row r="4">
      <c r="A4" t="inlineStr">
        <is>
          <t>C</t>
        </is>
      </c>
      <c r="B4" t="n">
        <v>2147</v>
      </c>
      <c r="C4" t="inlineStr">
        <is>
          <t>탈의실</t>
        </is>
      </c>
      <c r="D4" t="n">
        <v>24225</v>
      </c>
      <c r="E4" t="n">
        <v>23</v>
      </c>
      <c r="F4" t="n">
        <v>46</v>
      </c>
      <c r="G4" t="n">
        <v>627</v>
      </c>
      <c r="H4" t="n">
        <v>3254</v>
      </c>
      <c r="I4" t="n">
        <v>23402</v>
      </c>
      <c r="J4" t="n">
        <v>46804</v>
      </c>
    </row>
    <row r="5">
      <c r="A5" t="inlineStr">
        <is>
          <t>D</t>
        </is>
      </c>
      <c r="B5" t="n">
        <v>2169</v>
      </c>
      <c r="C5" t="inlineStr">
        <is>
          <t>복도</t>
        </is>
      </c>
      <c r="D5" t="n">
        <v>6657</v>
      </c>
      <c r="E5" t="n">
        <v>23</v>
      </c>
      <c r="F5" t="n">
        <v>46</v>
      </c>
      <c r="G5" t="n">
        <v>627</v>
      </c>
      <c r="H5" t="n">
        <v>3254</v>
      </c>
      <c r="I5" t="n">
        <v>23402</v>
      </c>
      <c r="J5" t="n">
        <v>46804</v>
      </c>
    </row>
    <row r="6">
      <c r="A6" t="inlineStr">
        <is>
          <t>D</t>
        </is>
      </c>
      <c r="B6" t="n">
        <v>2145</v>
      </c>
      <c r="C6" t="inlineStr">
        <is>
          <t>탈의실</t>
        </is>
      </c>
      <c r="D6" t="n">
        <v>54260</v>
      </c>
      <c r="E6" t="n">
        <v>23</v>
      </c>
      <c r="F6" t="n">
        <v>46</v>
      </c>
      <c r="G6" t="n">
        <v>627</v>
      </c>
      <c r="H6" t="n">
        <v>3254</v>
      </c>
      <c r="I6" t="n">
        <v>23402</v>
      </c>
      <c r="J6" t="n">
        <v>46804</v>
      </c>
    </row>
    <row r="7">
      <c r="A7" t="inlineStr">
        <is>
          <t>B</t>
        </is>
      </c>
      <c r="B7" t="n">
        <v>2142</v>
      </c>
      <c r="C7" t="inlineStr">
        <is>
          <t>PASS BOX(QHA-745)</t>
        </is>
      </c>
      <c r="D7" t="n">
        <v>428</v>
      </c>
      <c r="E7" t="n">
        <v>23</v>
      </c>
      <c r="F7" t="n">
        <v>46</v>
      </c>
      <c r="G7" t="n">
        <v>627</v>
      </c>
      <c r="H7" t="n">
        <v>3254</v>
      </c>
      <c r="I7" t="n">
        <v>23402</v>
      </c>
      <c r="J7" t="n">
        <v>46804</v>
      </c>
    </row>
    <row r="8">
      <c r="A8" t="inlineStr">
        <is>
          <t>B</t>
        </is>
      </c>
      <c r="B8" t="n">
        <v>2142</v>
      </c>
      <c r="C8" t="inlineStr">
        <is>
          <t>PASS BOX(QHA-744)</t>
        </is>
      </c>
      <c r="D8" t="n">
        <v>102</v>
      </c>
      <c r="E8" t="n">
        <v>23</v>
      </c>
      <c r="F8" t="n">
        <v>46</v>
      </c>
      <c r="G8" t="n">
        <v>627</v>
      </c>
      <c r="H8" t="n">
        <v>3254</v>
      </c>
      <c r="I8" t="n">
        <v>23402</v>
      </c>
      <c r="J8" t="n">
        <v>46804</v>
      </c>
    </row>
    <row r="9">
      <c r="A9" t="inlineStr">
        <is>
          <t>D</t>
        </is>
      </c>
      <c r="B9" t="n">
        <v>2169</v>
      </c>
      <c r="C9" t="inlineStr">
        <is>
          <t>PASS BOX(QHA-743)</t>
        </is>
      </c>
      <c r="D9" t="n">
        <v>28320</v>
      </c>
      <c r="E9" t="n">
        <v>23</v>
      </c>
      <c r="F9" t="n">
        <v>46</v>
      </c>
      <c r="G9" t="n">
        <v>627</v>
      </c>
      <c r="H9" t="n">
        <v>3254</v>
      </c>
      <c r="I9" t="n">
        <v>23402</v>
      </c>
      <c r="J9" t="n">
        <v>46804</v>
      </c>
    </row>
    <row r="10">
      <c r="A10" t="inlineStr">
        <is>
          <t>D</t>
        </is>
      </c>
      <c r="B10" t="n">
        <v>2169</v>
      </c>
      <c r="C10" t="inlineStr">
        <is>
          <t>PASS BOX(QHA-742)</t>
        </is>
      </c>
      <c r="D10" t="n">
        <v>65</v>
      </c>
      <c r="E10" t="n">
        <v>23</v>
      </c>
      <c r="F10" t="n">
        <v>46</v>
      </c>
      <c r="G10" t="n">
        <v>627</v>
      </c>
      <c r="H10" t="n">
        <v>3254</v>
      </c>
      <c r="I10" t="n">
        <v>23402</v>
      </c>
      <c r="J10" t="n">
        <v>46804</v>
      </c>
    </row>
    <row r="11">
      <c r="A11" t="inlineStr">
        <is>
          <t>A</t>
        </is>
      </c>
      <c r="B11" t="n">
        <v>2142</v>
      </c>
      <c r="C11" t="inlineStr">
        <is>
          <t>무균시험실 BSC</t>
        </is>
      </c>
      <c r="D11" t="n">
        <v>2</v>
      </c>
      <c r="E11" t="n">
        <v>23</v>
      </c>
      <c r="F11" t="n">
        <v>46</v>
      </c>
      <c r="G11" t="n">
        <v>627</v>
      </c>
      <c r="H11" t="n">
        <v>3254</v>
      </c>
      <c r="I11" t="n">
        <v>23402</v>
      </c>
      <c r="J11" t="n">
        <v>46804</v>
      </c>
    </row>
    <row r="12">
      <c r="A12" t="inlineStr">
        <is>
          <t>B</t>
        </is>
      </c>
      <c r="B12" t="n">
        <v>2165</v>
      </c>
      <c r="C12" t="inlineStr">
        <is>
          <t>균주접종실 BSC</t>
        </is>
      </c>
      <c r="D12" t="n">
        <v>2</v>
      </c>
      <c r="E12" t="n">
        <v>23</v>
      </c>
      <c r="F12" t="n">
        <v>46</v>
      </c>
      <c r="G12" t="n">
        <v>627</v>
      </c>
      <c r="H12" t="n">
        <v>3254</v>
      </c>
      <c r="I12" t="n">
        <v>23402</v>
      </c>
      <c r="J12" t="n">
        <v>46804</v>
      </c>
    </row>
    <row r="13">
      <c r="A13" t="inlineStr">
        <is>
          <t>C</t>
        </is>
      </c>
      <c r="B13" t="n">
        <v>2144</v>
      </c>
      <c r="C13" t="inlineStr">
        <is>
          <t>미생물 시험실</t>
        </is>
      </c>
      <c r="D13" t="n">
        <v>4247</v>
      </c>
      <c r="E13" t="n">
        <v>23</v>
      </c>
      <c r="F13" t="n">
        <v>46</v>
      </c>
      <c r="G13" t="n">
        <v>627</v>
      </c>
      <c r="H13" t="n">
        <v>3254</v>
      </c>
      <c r="I13" t="n">
        <v>23402</v>
      </c>
      <c r="J13" t="n">
        <v>46804</v>
      </c>
    </row>
    <row r="14">
      <c r="A14" t="inlineStr">
        <is>
          <t>B</t>
        </is>
      </c>
      <c r="B14" t="n">
        <v>2144</v>
      </c>
      <c r="C14" t="inlineStr">
        <is>
          <t>미생물 시험실 C/B(852)</t>
        </is>
      </c>
      <c r="D14" t="n">
        <v>0</v>
      </c>
      <c r="E14" t="n">
        <v>23</v>
      </c>
      <c r="F14" t="n">
        <v>46</v>
      </c>
      <c r="G14" t="n">
        <v>627</v>
      </c>
      <c r="H14" t="n">
        <v>3254</v>
      </c>
      <c r="I14" t="n">
        <v>23402</v>
      </c>
      <c r="J14" t="n">
        <v>46804</v>
      </c>
    </row>
    <row r="15">
      <c r="A15" t="inlineStr">
        <is>
          <t>B</t>
        </is>
      </c>
      <c r="B15" t="n">
        <v>2144</v>
      </c>
      <c r="C15" t="inlineStr">
        <is>
          <t>미생물 시험실 C/B(853)</t>
        </is>
      </c>
      <c r="D15" t="n">
        <v>108</v>
      </c>
      <c r="E15" t="n">
        <v>23</v>
      </c>
      <c r="F15" t="n">
        <v>46</v>
      </c>
      <c r="G15" t="n">
        <v>627</v>
      </c>
      <c r="H15" t="n">
        <v>3254</v>
      </c>
      <c r="I15" t="n">
        <v>23402</v>
      </c>
      <c r="J15" t="n">
        <v>46804</v>
      </c>
    </row>
    <row r="16">
      <c r="A16" t="inlineStr">
        <is>
          <t>D</t>
        </is>
      </c>
      <c r="B16" t="n">
        <v>2146</v>
      </c>
      <c r="C16" t="inlineStr">
        <is>
          <t>착의실</t>
        </is>
      </c>
      <c r="D16" t="n">
        <v>60755</v>
      </c>
      <c r="E16" t="n">
        <v>23</v>
      </c>
      <c r="F16" t="n">
        <v>46</v>
      </c>
      <c r="G16" t="n">
        <v>627</v>
      </c>
      <c r="H16" t="n">
        <v>3254</v>
      </c>
      <c r="I16" t="n">
        <v>23402</v>
      </c>
      <c r="J16" t="n">
        <v>46804</v>
      </c>
    </row>
    <row r="17">
      <c r="A17" t="inlineStr">
        <is>
          <t>D</t>
        </is>
      </c>
      <c r="B17" t="n">
        <v>2150</v>
      </c>
      <c r="C17" t="inlineStr">
        <is>
          <t>퇴실</t>
        </is>
      </c>
      <c r="D17" t="n">
        <v>5070</v>
      </c>
      <c r="E17" t="n">
        <v>23</v>
      </c>
      <c r="F17" t="n">
        <v>46</v>
      </c>
      <c r="G17" t="n">
        <v>627</v>
      </c>
      <c r="H17" t="n">
        <v>3254</v>
      </c>
      <c r="I17" t="n">
        <v>23402</v>
      </c>
      <c r="J17" t="n">
        <v>46804</v>
      </c>
    </row>
    <row r="18">
      <c r="A18" t="inlineStr">
        <is>
          <t>C</t>
        </is>
      </c>
      <c r="B18" t="n">
        <v>2148</v>
      </c>
      <c r="C18" t="inlineStr">
        <is>
          <t>착의실</t>
        </is>
      </c>
      <c r="D18" t="n">
        <v>10285</v>
      </c>
      <c r="E18" t="n">
        <v>23</v>
      </c>
      <c r="F18" t="n">
        <v>46</v>
      </c>
      <c r="G18" t="n">
        <v>627</v>
      </c>
      <c r="H18" t="n">
        <v>3254</v>
      </c>
      <c r="I18" t="n">
        <v>23402</v>
      </c>
      <c r="J18" t="n">
        <v>46804</v>
      </c>
    </row>
    <row r="19">
      <c r="A19" t="inlineStr">
        <is>
          <t>B</t>
        </is>
      </c>
      <c r="B19" t="n">
        <v>2149</v>
      </c>
      <c r="C19" t="inlineStr">
        <is>
          <t>착의실</t>
        </is>
      </c>
      <c r="D19" t="n">
        <v>374</v>
      </c>
      <c r="E19" t="n">
        <v>23</v>
      </c>
      <c r="F19" t="n">
        <v>46</v>
      </c>
      <c r="G19" t="n">
        <v>627</v>
      </c>
      <c r="H19" t="n">
        <v>3254</v>
      </c>
      <c r="I19" t="n">
        <v>23402</v>
      </c>
      <c r="J19" t="n">
        <v>46804</v>
      </c>
    </row>
    <row r="21" ht="45" customHeight="1">
      <c r="A21" s="9" t="inlineStr">
        <is>
          <t>참고: 위 차트에서 특정 등급의 제한선이 표시되지 않는 경우, 해당 등급의 모든 측정 결과가 아직 기준을 만족하고 있음을 의미합니다. 해당 등급의 제한선은 제한값이 매우 높아 차트 표시 범위를 초과하므로 나타나지 않습니다.</t>
        </is>
      </c>
    </row>
    <row r="22"/>
  </sheetData>
  <mergeCells count="1">
    <mergeCell ref="A21:D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청정등급</t>
        </is>
      </c>
      <c r="B1" t="inlineStr">
        <is>
          <t>실번호</t>
        </is>
      </c>
      <c r="C1" t="inlineStr">
        <is>
          <t>실명</t>
        </is>
      </c>
      <c r="D1" t="inlineStr">
        <is>
          <t>2025 (하)</t>
        </is>
      </c>
      <c r="E1" t="inlineStr">
        <is>
          <t>Grade A 경고기준: 4</t>
        </is>
      </c>
      <c r="F1" t="inlineStr">
        <is>
          <t>Grade A 조치기준: 8</t>
        </is>
      </c>
      <c r="G1" t="inlineStr">
        <is>
          <t>Grade B 경고기준: 13</t>
        </is>
      </c>
      <c r="H1" t="inlineStr">
        <is>
          <t>Grade B 조치기준: 26</t>
        </is>
      </c>
      <c r="I1" t="inlineStr">
        <is>
          <t>Grade C 경고기준: 1,540</t>
        </is>
      </c>
      <c r="J1" t="inlineStr">
        <is>
          <t>Grade C 조치기준: 2,900</t>
        </is>
      </c>
      <c r="K1" t="inlineStr">
        <is>
          <t>Grade D 경고기준: 8,183</t>
        </is>
      </c>
    </row>
    <row r="2">
      <c r="A2" t="inlineStr">
        <is>
          <t>B</t>
        </is>
      </c>
      <c r="B2" t="n">
        <v>2142</v>
      </c>
      <c r="C2" t="inlineStr">
        <is>
          <t>무균 실험실</t>
        </is>
      </c>
      <c r="D2" t="n">
        <v>5</v>
      </c>
      <c r="E2" t="n">
        <v>4</v>
      </c>
      <c r="F2" t="n">
        <v>8</v>
      </c>
      <c r="G2" t="n">
        <v>13</v>
      </c>
      <c r="H2" t="n">
        <v>26</v>
      </c>
      <c r="I2" t="n">
        <v>1540</v>
      </c>
      <c r="J2" t="n">
        <v>2900</v>
      </c>
      <c r="K2" t="n">
        <v>8183</v>
      </c>
    </row>
    <row r="3">
      <c r="A3" t="inlineStr">
        <is>
          <t>D</t>
        </is>
      </c>
      <c r="B3" t="n">
        <v>2165</v>
      </c>
      <c r="C3" t="inlineStr">
        <is>
          <t>균주접종실</t>
        </is>
      </c>
      <c r="D3" t="n">
        <v>201.6666666666667</v>
      </c>
      <c r="E3" t="n">
        <v>4</v>
      </c>
      <c r="F3" t="n">
        <v>8</v>
      </c>
      <c r="G3" t="n">
        <v>13</v>
      </c>
      <c r="H3" t="n">
        <v>26</v>
      </c>
      <c r="I3" t="n">
        <v>1540</v>
      </c>
      <c r="J3" t="n">
        <v>2900</v>
      </c>
      <c r="K3" t="n">
        <v>8183</v>
      </c>
    </row>
    <row r="4">
      <c r="A4" t="inlineStr">
        <is>
          <t>C</t>
        </is>
      </c>
      <c r="B4" t="n">
        <v>2147</v>
      </c>
      <c r="C4" t="inlineStr">
        <is>
          <t>탈의실</t>
        </is>
      </c>
      <c r="D4" t="n">
        <v>945</v>
      </c>
      <c r="E4" t="n">
        <v>4</v>
      </c>
      <c r="F4" t="n">
        <v>8</v>
      </c>
      <c r="G4" t="n">
        <v>13</v>
      </c>
      <c r="H4" t="n">
        <v>26</v>
      </c>
      <c r="I4" t="n">
        <v>1540</v>
      </c>
      <c r="J4" t="n">
        <v>2900</v>
      </c>
      <c r="K4" t="n">
        <v>8183</v>
      </c>
    </row>
    <row r="5">
      <c r="A5" t="inlineStr">
        <is>
          <t>D</t>
        </is>
      </c>
      <c r="B5" t="n">
        <v>2169</v>
      </c>
      <c r="C5" t="inlineStr">
        <is>
          <t>복도</t>
        </is>
      </c>
      <c r="D5" t="n">
        <v>970</v>
      </c>
      <c r="E5" t="n">
        <v>4</v>
      </c>
      <c r="F5" t="n">
        <v>8</v>
      </c>
      <c r="G5" t="n">
        <v>13</v>
      </c>
      <c r="H5" t="n">
        <v>26</v>
      </c>
      <c r="I5" t="n">
        <v>1540</v>
      </c>
      <c r="J5" t="n">
        <v>2900</v>
      </c>
      <c r="K5" t="n">
        <v>8183</v>
      </c>
    </row>
    <row r="6">
      <c r="A6" t="inlineStr">
        <is>
          <t>D</t>
        </is>
      </c>
      <c r="B6" t="n">
        <v>2145</v>
      </c>
      <c r="C6" t="inlineStr">
        <is>
          <t>탈의실</t>
        </is>
      </c>
      <c r="D6" t="n">
        <v>1170</v>
      </c>
      <c r="E6" t="n">
        <v>4</v>
      </c>
      <c r="F6" t="n">
        <v>8</v>
      </c>
      <c r="G6" t="n">
        <v>13</v>
      </c>
      <c r="H6" t="n">
        <v>26</v>
      </c>
      <c r="I6" t="n">
        <v>1540</v>
      </c>
      <c r="J6" t="n">
        <v>2900</v>
      </c>
      <c r="K6" t="n">
        <v>8183</v>
      </c>
    </row>
    <row r="7">
      <c r="A7" t="inlineStr">
        <is>
          <t>B</t>
        </is>
      </c>
      <c r="B7" t="n">
        <v>2142</v>
      </c>
      <c r="C7" t="inlineStr">
        <is>
          <t>PASS BOX(QHA-745)</t>
        </is>
      </c>
      <c r="D7" t="n">
        <v>2</v>
      </c>
      <c r="E7" t="n">
        <v>4</v>
      </c>
      <c r="F7" t="n">
        <v>8</v>
      </c>
      <c r="G7" t="n">
        <v>13</v>
      </c>
      <c r="H7" t="n">
        <v>26</v>
      </c>
      <c r="I7" t="n">
        <v>1540</v>
      </c>
      <c r="J7" t="n">
        <v>2900</v>
      </c>
      <c r="K7" t="n">
        <v>8183</v>
      </c>
    </row>
    <row r="8">
      <c r="A8" t="inlineStr">
        <is>
          <t>B</t>
        </is>
      </c>
      <c r="B8" t="n">
        <v>2142</v>
      </c>
      <c r="C8" t="inlineStr">
        <is>
          <t>PASS BOX(QHA-744)</t>
        </is>
      </c>
      <c r="D8" t="n">
        <v>1</v>
      </c>
      <c r="E8" t="n">
        <v>4</v>
      </c>
      <c r="F8" t="n">
        <v>8</v>
      </c>
      <c r="G8" t="n">
        <v>13</v>
      </c>
      <c r="H8" t="n">
        <v>26</v>
      </c>
      <c r="I8" t="n">
        <v>1540</v>
      </c>
      <c r="J8" t="n">
        <v>2900</v>
      </c>
      <c r="K8" t="n">
        <v>8183</v>
      </c>
    </row>
    <row r="9">
      <c r="A9" t="inlineStr">
        <is>
          <t>D</t>
        </is>
      </c>
      <c r="B9" t="n">
        <v>2169</v>
      </c>
      <c r="C9" t="inlineStr">
        <is>
          <t>PASS BOX(QHA-743)</t>
        </is>
      </c>
      <c r="D9" t="n">
        <v>2600</v>
      </c>
      <c r="E9" t="n">
        <v>4</v>
      </c>
      <c r="F9" t="n">
        <v>8</v>
      </c>
      <c r="G9" t="n">
        <v>13</v>
      </c>
      <c r="H9" t="n">
        <v>26</v>
      </c>
      <c r="I9" t="n">
        <v>1540</v>
      </c>
      <c r="J9" t="n">
        <v>2900</v>
      </c>
      <c r="K9" t="n">
        <v>8183</v>
      </c>
    </row>
    <row r="10">
      <c r="A10" t="inlineStr">
        <is>
          <t>D</t>
        </is>
      </c>
      <c r="B10" t="n">
        <v>2169</v>
      </c>
      <c r="C10" t="inlineStr">
        <is>
          <t>PASS BOX(QHA-742)</t>
        </is>
      </c>
      <c r="D10" t="n">
        <v>0</v>
      </c>
      <c r="E10" t="n">
        <v>4</v>
      </c>
      <c r="F10" t="n">
        <v>8</v>
      </c>
      <c r="G10" t="n">
        <v>13</v>
      </c>
      <c r="H10" t="n">
        <v>26</v>
      </c>
      <c r="I10" t="n">
        <v>1540</v>
      </c>
      <c r="J10" t="n">
        <v>2900</v>
      </c>
      <c r="K10" t="n">
        <v>8183</v>
      </c>
    </row>
    <row r="11">
      <c r="A11" t="inlineStr">
        <is>
          <t>A</t>
        </is>
      </c>
      <c r="B11" t="n">
        <v>2142</v>
      </c>
      <c r="C11" t="inlineStr">
        <is>
          <t>무균시험실 BSC</t>
        </is>
      </c>
      <c r="D11" t="n">
        <v>0</v>
      </c>
      <c r="E11" t="n">
        <v>4</v>
      </c>
      <c r="F11" t="n">
        <v>8</v>
      </c>
      <c r="G11" t="n">
        <v>13</v>
      </c>
      <c r="H11" t="n">
        <v>26</v>
      </c>
      <c r="I11" t="n">
        <v>1540</v>
      </c>
      <c r="J11" t="n">
        <v>2900</v>
      </c>
      <c r="K11" t="n">
        <v>8183</v>
      </c>
    </row>
    <row r="12">
      <c r="A12" t="inlineStr">
        <is>
          <t>B</t>
        </is>
      </c>
      <c r="B12" t="n">
        <v>2165</v>
      </c>
      <c r="C12" t="inlineStr">
        <is>
          <t>균주접종실 BSC</t>
        </is>
      </c>
      <c r="D12" t="n">
        <v>0</v>
      </c>
      <c r="E12" t="n">
        <v>4</v>
      </c>
      <c r="F12" t="n">
        <v>8</v>
      </c>
      <c r="G12" t="n">
        <v>13</v>
      </c>
      <c r="H12" t="n">
        <v>26</v>
      </c>
      <c r="I12" t="n">
        <v>1540</v>
      </c>
      <c r="J12" t="n">
        <v>2900</v>
      </c>
      <c r="K12" t="n">
        <v>8183</v>
      </c>
    </row>
    <row r="13">
      <c r="A13" t="inlineStr">
        <is>
          <t>C</t>
        </is>
      </c>
      <c r="B13" t="n">
        <v>2144</v>
      </c>
      <c r="C13" t="inlineStr">
        <is>
          <t>미생물 시험실</t>
        </is>
      </c>
      <c r="D13" t="n">
        <v>418.3333333333333</v>
      </c>
      <c r="E13" t="n">
        <v>4</v>
      </c>
      <c r="F13" t="n">
        <v>8</v>
      </c>
      <c r="G13" t="n">
        <v>13</v>
      </c>
      <c r="H13" t="n">
        <v>26</v>
      </c>
      <c r="I13" t="n">
        <v>1540</v>
      </c>
      <c r="J13" t="n">
        <v>2900</v>
      </c>
      <c r="K13" t="n">
        <v>8183</v>
      </c>
    </row>
    <row r="14">
      <c r="A14" t="inlineStr">
        <is>
          <t>B</t>
        </is>
      </c>
      <c r="B14" t="n">
        <v>2144</v>
      </c>
      <c r="C14" t="inlineStr">
        <is>
          <t>미생물 시험실 C/B(852)</t>
        </is>
      </c>
      <c r="D14" t="n">
        <v>0</v>
      </c>
      <c r="E14" t="n">
        <v>4</v>
      </c>
      <c r="F14" t="n">
        <v>8</v>
      </c>
      <c r="G14" t="n">
        <v>13</v>
      </c>
      <c r="H14" t="n">
        <v>26</v>
      </c>
      <c r="I14" t="n">
        <v>1540</v>
      </c>
      <c r="J14" t="n">
        <v>2900</v>
      </c>
      <c r="K14" t="n">
        <v>8183</v>
      </c>
    </row>
    <row r="15">
      <c r="A15" t="inlineStr">
        <is>
          <t>B</t>
        </is>
      </c>
      <c r="B15" t="n">
        <v>2144</v>
      </c>
      <c r="C15" t="inlineStr">
        <is>
          <t>미생물 시험실 C/B(853)</t>
        </is>
      </c>
      <c r="D15" t="n">
        <v>1</v>
      </c>
      <c r="E15" t="n">
        <v>4</v>
      </c>
      <c r="F15" t="n">
        <v>8</v>
      </c>
      <c r="G15" t="n">
        <v>13</v>
      </c>
      <c r="H15" t="n">
        <v>26</v>
      </c>
      <c r="I15" t="n">
        <v>1540</v>
      </c>
      <c r="J15" t="n">
        <v>2900</v>
      </c>
      <c r="K15" t="n">
        <v>8183</v>
      </c>
    </row>
    <row r="16">
      <c r="A16" t="inlineStr">
        <is>
          <t>D</t>
        </is>
      </c>
      <c r="B16" t="n">
        <v>2146</v>
      </c>
      <c r="C16" t="inlineStr">
        <is>
          <t>착의실</t>
        </is>
      </c>
      <c r="D16" t="n">
        <v>7785</v>
      </c>
      <c r="E16" t="n">
        <v>4</v>
      </c>
      <c r="F16" t="n">
        <v>8</v>
      </c>
      <c r="G16" t="n">
        <v>13</v>
      </c>
      <c r="H16" t="n">
        <v>26</v>
      </c>
      <c r="I16" t="n">
        <v>1540</v>
      </c>
      <c r="J16" t="n">
        <v>2900</v>
      </c>
      <c r="K16" t="n">
        <v>8183</v>
      </c>
    </row>
    <row r="17">
      <c r="A17" t="inlineStr">
        <is>
          <t>D</t>
        </is>
      </c>
      <c r="B17" t="n">
        <v>2150</v>
      </c>
      <c r="C17" t="inlineStr">
        <is>
          <t>퇴실</t>
        </is>
      </c>
      <c r="D17" t="n">
        <v>230</v>
      </c>
      <c r="E17" t="n">
        <v>4</v>
      </c>
      <c r="F17" t="n">
        <v>8</v>
      </c>
      <c r="G17" t="n">
        <v>13</v>
      </c>
      <c r="H17" t="n">
        <v>26</v>
      </c>
      <c r="I17" t="n">
        <v>1540</v>
      </c>
      <c r="J17" t="n">
        <v>2900</v>
      </c>
      <c r="K17" t="n">
        <v>8183</v>
      </c>
    </row>
    <row r="18">
      <c r="A18" t="inlineStr">
        <is>
          <t>C</t>
        </is>
      </c>
      <c r="B18" t="n">
        <v>2148</v>
      </c>
      <c r="C18" t="inlineStr">
        <is>
          <t>착의실</t>
        </is>
      </c>
      <c r="D18" t="n">
        <v>560</v>
      </c>
      <c r="E18" t="n">
        <v>4</v>
      </c>
      <c r="F18" t="n">
        <v>8</v>
      </c>
      <c r="G18" t="n">
        <v>13</v>
      </c>
      <c r="H18" t="n">
        <v>26</v>
      </c>
      <c r="I18" t="n">
        <v>1540</v>
      </c>
      <c r="J18" t="n">
        <v>2900</v>
      </c>
      <c r="K18" t="n">
        <v>8183</v>
      </c>
    </row>
    <row r="19">
      <c r="A19" t="inlineStr">
        <is>
          <t>B</t>
        </is>
      </c>
      <c r="B19" t="n">
        <v>2149</v>
      </c>
      <c r="C19" t="inlineStr">
        <is>
          <t>착의실</t>
        </is>
      </c>
      <c r="D19" t="n">
        <v>4</v>
      </c>
      <c r="E19" t="n">
        <v>4</v>
      </c>
      <c r="F19" t="n">
        <v>8</v>
      </c>
      <c r="G19" t="n">
        <v>13</v>
      </c>
      <c r="H19" t="n">
        <v>26</v>
      </c>
      <c r="I19" t="n">
        <v>1540</v>
      </c>
      <c r="J19" t="n">
        <v>2900</v>
      </c>
      <c r="K19" t="n">
        <v>8183</v>
      </c>
    </row>
    <row r="21" ht="45" customHeight="1">
      <c r="A21" s="9" t="inlineStr">
        <is>
          <t>참고: 위 차트에서 특정 등급의 제한선이 표시되지 않는 경우, 해당 등급의 모든 측정 결과가 아직 기준을 만족하고 있음을 의미합니다. 해당 등급의 제한선은 제한값이 매우 높아 차트 표시 범위를 초과하므로 나타나지 않습니다.</t>
        </is>
      </c>
    </row>
    <row r="22"/>
  </sheetData>
  <mergeCells count="1">
    <mergeCell ref="A21:D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2026-06-07T15:59:19Z</dcterms:created>
  <dcterms:modified xmlns:dcterms="http://purl.org/dc/terms/" xmlns:xsi="http://www.w3.org/2001/XMLSchema-instance" xsi:type="dcterms:W3CDTF">2026-06-07T15:59:19Z</dcterms:modified>
</cp:coreProperties>
</file>